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huanyu/Desktop/AdmixIBD/初稿/2_补充图表/"/>
    </mc:Choice>
  </mc:AlternateContent>
  <xr:revisionPtr revIDLastSave="0" documentId="13_ncr:1_{27573160-884E-3C45-A12D-E1D66FFA935C}" xr6:coauthVersionLast="47" xr6:coauthVersionMax="47" xr10:uidLastSave="{00000000-0000-0000-0000-000000000000}"/>
  <bookViews>
    <workbookView xWindow="16600" yWindow="4560" windowWidth="27240" windowHeight="16360" xr2:uid="{36457A75-A3C1-1A40-8AB6-66C5C384AB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<sst xmlns="http://schemas.openxmlformats.org/spreadsheetml/2006/main" count="53" uniqueCount="26">
  <si>
    <t>Popualtion</t>
    <phoneticPr fontId="1" type="noConversion"/>
  </si>
  <si>
    <t>N_hap_bound</t>
    <phoneticPr fontId="1" type="noConversion"/>
  </si>
  <si>
    <t>Super Population</t>
    <phoneticPr fontId="1" type="noConversion"/>
  </si>
  <si>
    <t>African American</t>
    <phoneticPr fontId="1" type="noConversion"/>
  </si>
  <si>
    <t>ASW</t>
    <phoneticPr fontId="1" type="noConversion"/>
  </si>
  <si>
    <t>European</t>
    <phoneticPr fontId="1" type="noConversion"/>
  </si>
  <si>
    <t>Admix American</t>
    <phoneticPr fontId="1" type="noConversion"/>
  </si>
  <si>
    <t>Southern Asian</t>
    <phoneticPr fontId="1" type="noConversion"/>
  </si>
  <si>
    <t>CLM</t>
    <phoneticPr fontId="1" type="noConversion"/>
  </si>
  <si>
    <t>PUR</t>
    <phoneticPr fontId="1" type="noConversion"/>
  </si>
  <si>
    <t>FIN</t>
    <phoneticPr fontId="1" type="noConversion"/>
  </si>
  <si>
    <t>PJL</t>
    <phoneticPr fontId="1" type="noConversion"/>
  </si>
  <si>
    <t>GIH</t>
    <phoneticPr fontId="1" type="noConversion"/>
  </si>
  <si>
    <t>STU</t>
    <phoneticPr fontId="1" type="noConversion"/>
  </si>
  <si>
    <t>tau_a_bound</t>
  </si>
  <si>
    <t>m_bound</t>
  </si>
  <si>
    <t>init_par</t>
  </si>
  <si>
    <t>admixture proportion</t>
    <phoneticPr fontId="1" type="noConversion"/>
  </si>
  <si>
    <t>IBD sharing</t>
    <phoneticPr fontId="1" type="noConversion"/>
  </si>
  <si>
    <t>effective population size (diploid)</t>
    <phoneticPr fontId="1" type="noConversion"/>
  </si>
  <si>
    <t>opt loss</t>
    <phoneticPr fontId="1" type="noConversion"/>
  </si>
  <si>
    <t>0;100000</t>
  </si>
  <si>
    <t>0;500</t>
  </si>
  <si>
    <t>0;0.5</t>
  </si>
  <si>
    <t>10000;100;0.25</t>
  </si>
  <si>
    <t>admixture time (generations)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</si>
</sst>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B75B"/>
        <bgColor indexed="64"/>
      </patternFill>
    </fill>
    <fill>
      <patternFill patternType="solid">
        <fgColor rgb="FFD5C5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0" fontId="2" fillId="5" borderId="0" xfId="0" applyFont="1" applyFill="1">
      <alignment vertical="center"/>
    </xf>
    <xf numFmtId="0" fontId="0" fillId="5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5C5FF"/>
      <color rgb="FFD8B7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CF40-46ED-2B49-B4C9-356547F61EBC}">
  <dimension ref="A1:K8"/>
  <sheetViews>
    <sheetView tabSelected="1" workbookViewId="0">
      <selection activeCell="H5" sqref="H5:J5"/>
    </sheetView>
  </sheetViews>
  <sheetFormatPr baseColWidth="10" defaultRowHeight="16"/>
  <cols>
    <col min="1" max="1" width="11.6640625" bestFit="1" customWidth="1"/>
    <col min="2" max="2" width="18.6640625" bestFit="1" customWidth="1"/>
    <col min="3" max="3" width="15" bestFit="1" customWidth="1"/>
    <col min="4" max="4" width="13.83203125" bestFit="1" customWidth="1"/>
    <col min="5" max="5" width="10.83203125" bestFit="1" customWidth="1"/>
    <col min="6" max="6" width="15.5" bestFit="1" customWidth="1"/>
    <col min="7" max="7" width="13.83203125" bestFit="1" customWidth="1"/>
    <col min="8" max="8" width="23.33203125" bestFit="1" customWidth="1"/>
    <col min="9" max="9" width="31" bestFit="1" customWidth="1"/>
    <col min="10" max="10" width="34.6640625" bestFit="1" customWidth="1"/>
    <col min="11" max="11" width="15.1640625" bestFit="1" customWidth="1"/>
  </cols>
  <sheetData>
    <row r="1" spans="1:11">
      <c r="A1" s="1" t="s">
        <v>0</v>
      </c>
      <c r="B1" s="1" t="s">
        <v>2</v>
      </c>
      <c r="C1" s="1" t="s">
        <v>1</v>
      </c>
      <c r="D1" s="1" t="s">
        <v>14</v>
      </c>
      <c r="E1" s="1" t="s">
        <v>15</v>
      </c>
      <c r="F1" s="1" t="s">
        <v>16</v>
      </c>
      <c r="G1" s="1" t="s">
        <v>18</v>
      </c>
      <c r="H1" s="1" t="s">
        <v>17</v>
      </c>
      <c r="I1" s="1" t="s">
        <v>25</v>
      </c>
      <c r="J1" s="1" t="s">
        <v>19</v>
      </c>
      <c r="K1" s="1" t="s">
        <v>20</v>
      </c>
    </row>
    <row r="2" spans="1:11">
      <c r="A2" s="2" t="s">
        <v>4</v>
      </c>
      <c r="B2" s="3" t="s">
        <v>3</v>
      </c>
      <c r="C2" s="3" t="s">
        <v>21</v>
      </c>
      <c r="D2" s="3" t="s">
        <v>22</v>
      </c>
      <c r="E2" s="3" t="s">
        <v>23</v>
      </c>
      <c r="F2" s="3" t="s">
        <v>24</v>
      </c>
      <c r="G2" s="3">
        <v>1.6032152858041499E-3</v>
      </c>
      <c r="H2" s="3">
        <v>0.26625863934426203</v>
      </c>
      <c r="I2" s="3">
        <v>15.925503033568599</v>
      </c>
      <c r="J2" s="3">
        <f>41828.20992/2</f>
        <v>20914.104960000001</v>
      </c>
      <c r="K2" s="3">
        <v>-61.686800393397803</v>
      </c>
    </row>
    <row r="3" spans="1:11">
      <c r="A3" s="4" t="s">
        <v>8</v>
      </c>
      <c r="B3" s="5" t="s">
        <v>6</v>
      </c>
      <c r="C3" s="5" t="s">
        <v>21</v>
      </c>
      <c r="D3" s="5" t="s">
        <v>22</v>
      </c>
      <c r="E3" s="5" t="s">
        <v>23</v>
      </c>
      <c r="F3" s="5" t="s">
        <v>24</v>
      </c>
      <c r="G3" s="5">
        <v>3.5686929631793501E-3</v>
      </c>
      <c r="H3" s="5">
        <v>0.48041184042553198</v>
      </c>
      <c r="I3" s="5">
        <v>23.510731377542498</v>
      </c>
      <c r="J3" s="5">
        <f>17224.868/2</f>
        <v>8612.4339999999993</v>
      </c>
      <c r="K3" s="5">
        <v>-358.76834632773398</v>
      </c>
    </row>
    <row r="4" spans="1:11">
      <c r="A4" s="4" t="s">
        <v>9</v>
      </c>
      <c r="B4" s="5" t="s">
        <v>6</v>
      </c>
      <c r="C4" s="5" t="s">
        <v>21</v>
      </c>
      <c r="D4" s="5" t="s">
        <v>22</v>
      </c>
      <c r="E4" s="5" t="s">
        <v>23</v>
      </c>
      <c r="F4" s="5" t="s">
        <v>24</v>
      </c>
      <c r="G4" s="5">
        <v>4.3296751004317001E-3</v>
      </c>
      <c r="H4" s="5">
        <v>0.168877019230769</v>
      </c>
      <c r="I4" s="5">
        <v>47.184455570205898</v>
      </c>
      <c r="J4" s="5">
        <f>19382.49303/2</f>
        <v>9691.2465150000007</v>
      </c>
      <c r="K4" s="5">
        <v>-362.041540954124</v>
      </c>
    </row>
    <row r="5" spans="1:11">
      <c r="A5" s="6" t="s">
        <v>10</v>
      </c>
      <c r="B5" s="7" t="s">
        <v>5</v>
      </c>
      <c r="C5" s="7" t="s">
        <v>21</v>
      </c>
      <c r="D5" s="7" t="s">
        <v>22</v>
      </c>
      <c r="E5" s="7" t="s">
        <v>23</v>
      </c>
      <c r="F5" s="7" t="s">
        <v>24</v>
      </c>
      <c r="G5" s="7">
        <v>6.7492334645092699E-3</v>
      </c>
      <c r="H5" s="7">
        <v>0.487821848484848</v>
      </c>
      <c r="I5" s="7">
        <v>182.56134145220099</v>
      </c>
      <c r="J5" s="7">
        <f>14273.4185/2</f>
        <v>7136.7092499999999</v>
      </c>
      <c r="K5" s="7">
        <v>-993.62407770654602</v>
      </c>
    </row>
    <row r="6" spans="1:11">
      <c r="A6" s="8" t="s">
        <v>11</v>
      </c>
      <c r="B6" s="9" t="s">
        <v>7</v>
      </c>
      <c r="C6" s="9" t="s">
        <v>21</v>
      </c>
      <c r="D6" s="9" t="s">
        <v>22</v>
      </c>
      <c r="E6" s="9" t="s">
        <v>23</v>
      </c>
      <c r="F6" s="9" t="s">
        <v>24</v>
      </c>
      <c r="G6" s="9">
        <v>2.4203820049677701E-3</v>
      </c>
      <c r="H6" s="9">
        <v>0.42798167708333301</v>
      </c>
      <c r="I6" s="9">
        <v>104.9786995</v>
      </c>
      <c r="J6" s="9">
        <f>36235.8762/2</f>
        <v>18117.938099999999</v>
      </c>
      <c r="K6" s="9">
        <v>-289.170715969176</v>
      </c>
    </row>
    <row r="7" spans="1:11">
      <c r="A7" s="8" t="s">
        <v>12</v>
      </c>
      <c r="B7" s="9" t="s">
        <v>7</v>
      </c>
      <c r="C7" s="9" t="s">
        <v>21</v>
      </c>
      <c r="D7" s="9" t="s">
        <v>22</v>
      </c>
      <c r="E7" s="9" t="s">
        <v>23</v>
      </c>
      <c r="F7" s="9" t="s">
        <v>24</v>
      </c>
      <c r="G7" s="9">
        <v>3.7118301691769001E-3</v>
      </c>
      <c r="H7" s="9">
        <v>7.8921407766990206E-2</v>
      </c>
      <c r="I7" s="9">
        <v>135.385255488079</v>
      </c>
      <c r="J7" s="9">
        <f>26326.0347940487/2</f>
        <v>13163.01739702435</v>
      </c>
      <c r="K7" s="9">
        <v>-574.22968811575197</v>
      </c>
    </row>
    <row r="8" spans="1:11">
      <c r="A8" s="8" t="s">
        <v>13</v>
      </c>
      <c r="B8" s="9" t="s">
        <v>7</v>
      </c>
      <c r="C8" s="9" t="s">
        <v>21</v>
      </c>
      <c r="D8" s="9" t="s">
        <v>22</v>
      </c>
      <c r="E8" s="9" t="s">
        <v>23</v>
      </c>
      <c r="F8" s="9" t="s">
        <v>24</v>
      </c>
      <c r="G8" s="9">
        <v>2.1202190339703899E-3</v>
      </c>
      <c r="H8" s="9">
        <v>0.13942475490195999</v>
      </c>
      <c r="I8" s="9">
        <v>80.9749270772854</v>
      </c>
      <c r="J8" s="9">
        <f>43109.31946/2</f>
        <v>21554.659729999999</v>
      </c>
      <c r="K8" s="9">
        <v>-281.28526530562198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huanyu lin</dc:creator>
  <cp:lastModifiedBy>huanyu lin</cp:lastModifiedBy>
  <dcterms:created xsi:type="dcterms:W3CDTF">2025-08-11T05:18:05Z</dcterms:created>
  <dcterms:modified xsi:type="dcterms:W3CDTF">2025-08-13T14:13:14Z</dcterms:modified>
</cp:coreProperties>
</file>